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500" firstSheet="2" activeTab="4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Ratio Calculator" sheetId="3" state="visible" r:id="rId3"/>
    <sheet xmlns:r="http://schemas.openxmlformats.org/officeDocument/2006/relationships" name="Progress Tracker" sheetId="4" state="visible" r:id="rId4"/>
    <sheet xmlns:r="http://schemas.openxmlformats.org/officeDocument/2006/relationships" name="Recommendation Checklist" sheetId="5" state="visible" r:id="rId5"/>
  </sheets>
  <definedNames/>
  <calcPr calcId="181029" fullCalcOnLoad="1" iterateDelta="0.0001"/>
</workbook>
</file>

<file path=xl/styles.xml><?xml version="1.0" encoding="utf-8"?>
<styleSheet xmlns="http://schemas.openxmlformats.org/spreadsheetml/2006/main">
  <numFmts count="1">
    <numFmt numFmtId="164" formatCode="0.00\x"/>
  </numFmts>
  <fonts count="23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9"/>
    </font>
    <font>
      <name val="Arial"/>
      <charset val="1"/>
      <color rgb="FF000000"/>
      <sz val="10"/>
    </font>
    <font>
      <name val="Arial"/>
      <charset val="1"/>
      <b val="1"/>
      <color rgb="FF0000FF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375623"/>
      <sz val="10"/>
    </font>
    <font>
      <name val="Arial"/>
      <charset val="1"/>
      <b val="1"/>
      <color rgb="FF7F6000"/>
      <sz val="10"/>
    </font>
    <font>
      <name val="Arial"/>
      <charset val="1"/>
      <b val="1"/>
      <color rgb="FFC00000"/>
      <sz val="10"/>
    </font>
    <font>
      <name val="Arial"/>
      <charset val="1"/>
      <b val="1"/>
      <color rgb="FFFFFFFF"/>
      <sz val="13"/>
    </font>
    <font>
      <name val="Arial"/>
      <charset val="1"/>
      <b val="1"/>
      <color rgb="FF1F4E79"/>
      <sz val="10"/>
    </font>
    <font>
      <name val="Arial"/>
      <charset val="1"/>
      <color rgb="FF595959"/>
      <sz val="10"/>
    </font>
    <font>
      <name val="Arial"/>
      <charset val="1"/>
      <color rgb="FF0000F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595959"/>
      <sz val="10"/>
    </font>
    <font>
      <name val="Arial"/>
      <charset val="1"/>
      <i val="1"/>
      <color rgb="FF333333"/>
      <sz val="9"/>
    </font>
    <font>
      <name val="Arial"/>
      <charset val="1"/>
      <color rgb="FF404040"/>
      <sz val="9"/>
    </font>
    <font>
      <name val="Arial"/>
      <charset val="1"/>
      <color rgb="FF008000"/>
      <sz val="10"/>
    </font>
    <font>
      <name val="Arial"/>
      <charset val="1"/>
      <i val="1"/>
      <color rgb="FF404040"/>
      <sz val="9"/>
    </font>
    <font>
      <name val="Arial"/>
      <charset val="1"/>
      <color rgb="FF333333"/>
      <sz val="9"/>
    </font>
    <font>
      <name val="Arial"/>
      <charset val="1"/>
      <color rgb="FF000000"/>
      <sz val="9"/>
    </font>
  </fonts>
  <fills count="12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E2EFDA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2" fillId="11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/>
    </xf>
    <xf numFmtId="3" fontId="13" fillId="4" borderId="2" applyAlignment="1" pivotButton="0" quotePrefix="0" xfId="0">
      <alignment horizontal="right" vertical="center"/>
    </xf>
    <xf numFmtId="3" fontId="14" fillId="6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/>
    </xf>
    <xf numFmtId="3" fontId="16" fillId="4" borderId="2" applyAlignment="1" pivotButton="0" quotePrefix="0" xfId="0">
      <alignment horizontal="right" vertical="center"/>
    </xf>
    <xf numFmtId="0" fontId="5" fillId="10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/>
    </xf>
    <xf numFmtId="164" fontId="19" fillId="6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left" vertical="top" wrapText="1"/>
    </xf>
    <xf numFmtId="2" fontId="19" fillId="6" borderId="2" applyAlignment="1" pivotButton="0" quotePrefix="0" xfId="0">
      <alignment horizontal="center" vertical="center"/>
    </xf>
    <xf numFmtId="10" fontId="19" fillId="6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22" fillId="11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777777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375623"/>
      <rgbColor rgb="FF40404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topLeftCell="A6" zoomScaleNormal="100" workbookViewId="0">
      <selection activeCell="B5" sqref="B5"/>
    </sheetView>
  </sheetViews>
  <sheetFormatPr baseColWidth="8" defaultColWidth="8.7109375" defaultRowHeight="15"/>
  <cols>
    <col width="13.140625" customWidth="1" min="1" max="1"/>
    <col width="22" customWidth="1" min="2" max="2"/>
    <col width="55" customWidth="1" min="3" max="3"/>
    <col width="20" customWidth="1" min="4" max="4"/>
    <col width="15" customWidth="1" min="5" max="6"/>
  </cols>
  <sheetData>
    <row r="1" ht="49.5" customHeight="1">
      <c r="A1" s="6" t="inlineStr">
        <is>
          <t>The Company — Credit Progress Audit Working Kit</t>
        </is>
      </c>
      <c r="B1" s="43" t="n"/>
      <c r="C1" s="43" t="n"/>
      <c r="D1" s="43" t="n"/>
      <c r="E1" s="43" t="n"/>
      <c r="F1" s="43" t="n"/>
    </row>
    <row r="2" ht="30" customHeight="1">
      <c r="A2" s="5" t="inlineStr">
        <is>
          <t>Prepared by Henry C. Dibie, Credit Risk Analyst  |  Reference: FY2025 Baseline → FY2026 Update</t>
        </is>
      </c>
      <c r="B2" s="43" t="n"/>
      <c r="C2" s="43" t="n"/>
      <c r="D2" s="43" t="n"/>
      <c r="E2" s="43" t="n"/>
      <c r="F2" s="43" t="n"/>
    </row>
    <row r="3" ht="9.75" customHeight="1"/>
    <row r="4" ht="24.75" customHeight="1">
      <c r="A4" s="4" t="inlineStr">
        <is>
          <t>HOW TO USE THIS FILE</t>
        </is>
      </c>
      <c r="B4" s="43" t="n"/>
      <c r="C4" s="43" t="n"/>
      <c r="D4" s="43" t="n"/>
      <c r="E4" s="43" t="n"/>
      <c r="F4" s="43" t="n"/>
    </row>
    <row r="5" ht="19.5" customHeight="1">
      <c r="A5" s="7" t="inlineStr">
        <is>
          <t>Step</t>
        </is>
      </c>
      <c r="B5" s="8" t="inlineStr">
        <is>
          <t>Sheet</t>
        </is>
      </c>
      <c r="C5" s="8" t="inlineStr">
        <is>
          <t>Action</t>
        </is>
      </c>
      <c r="D5" s="7" t="inlineStr">
        <is>
          <t>Who</t>
        </is>
      </c>
    </row>
    <row r="6" ht="39.75" customHeight="1">
      <c r="A6" s="9" t="inlineStr">
        <is>
          <t>1</t>
        </is>
      </c>
      <c r="B6" s="10" t="inlineStr">
        <is>
          <t>Data Entry</t>
        </is>
      </c>
      <c r="C6" s="10" t="inlineStr">
        <is>
          <t>Enter the FY2026 financial figures (Balance Sheet + P&amp;L) in the BLUE cells. All other cells will update automatically.</t>
        </is>
      </c>
      <c r="D6" s="11" t="inlineStr">
        <is>
          <t>Client</t>
        </is>
      </c>
    </row>
    <row r="7" ht="39.75" customHeight="1">
      <c r="A7" s="9" t="inlineStr">
        <is>
          <t>2</t>
        </is>
      </c>
      <c r="B7" s="10" t="inlineStr">
        <is>
          <t>Ratio Calculator</t>
        </is>
      </c>
      <c r="C7" s="10" t="inlineStr">
        <is>
          <t>Review all ratios — they are auto-calculated from your entries. No manual input needed here.</t>
        </is>
      </c>
      <c r="D7" s="11" t="inlineStr">
        <is>
          <t>Client</t>
        </is>
      </c>
    </row>
    <row r="8" ht="39.75" customHeight="1">
      <c r="A8" s="9" t="inlineStr">
        <is>
          <t>3</t>
        </is>
      </c>
      <c r="B8" s="10" t="inlineStr">
        <is>
          <t>Progress Tracker</t>
        </is>
      </c>
      <c r="C8" s="10" t="inlineStr">
        <is>
          <t>Review the Before vs After comparison. The Movement column updates automatically once FY2026 data is entered.</t>
        </is>
      </c>
      <c r="D8" s="11" t="inlineStr">
        <is>
          <t>Client</t>
        </is>
      </c>
    </row>
    <row r="9" ht="39.75" customHeight="1">
      <c r="A9" s="9" t="inlineStr">
        <is>
          <t>4</t>
        </is>
      </c>
      <c r="B9" s="10" t="inlineStr">
        <is>
          <t>Recommendation Checklist</t>
        </is>
      </c>
      <c r="C9" s="10" t="inlineStr">
        <is>
          <t>Select the status (Completed / In Progress / Not Started) for each of the 11 recommendations using the dropdown.</t>
        </is>
      </c>
      <c r="D9" s="11" t="inlineStr">
        <is>
          <t>Client</t>
        </is>
      </c>
    </row>
    <row r="10" ht="39.75" customHeight="1">
      <c r="A10" s="9" t="inlineStr">
        <is>
          <t>5</t>
        </is>
      </c>
      <c r="B10" s="10" t="inlineStr">
        <is>
          <t>All Sheets</t>
        </is>
      </c>
      <c r="C10" s="10" t="inlineStr">
        <is>
          <t>Save the file and share with Henry for the final narrative update, or use the pre-written scenario text in column F of the Progress Tracker.</t>
        </is>
      </c>
      <c r="D10" s="11" t="inlineStr">
        <is>
          <t>Client</t>
        </is>
      </c>
    </row>
    <row r="11"/>
    <row r="12" ht="19.5" customHeight="1">
      <c r="A12" s="5" t="inlineStr">
        <is>
          <t>COLOUR KEY</t>
        </is>
      </c>
      <c r="B12" s="43" t="n"/>
      <c r="C12" s="43" t="n"/>
      <c r="D12" s="43" t="n"/>
      <c r="E12" s="43" t="n"/>
      <c r="F12" s="43" t="n"/>
    </row>
    <row r="13" ht="21.75" customHeight="1">
      <c r="A13" s="12" t="inlineStr">
        <is>
          <t xml:space="preserve">  Sample</t>
        </is>
      </c>
      <c r="B13" s="3" t="inlineStr">
        <is>
          <t>Blue text on light blue background = INPUT CELL. Enter your figures here.</t>
        </is>
      </c>
      <c r="C13" s="43" t="n"/>
      <c r="D13" s="43" t="n"/>
      <c r="E13" s="43" t="n"/>
      <c r="F13" s="43" t="n"/>
    </row>
    <row r="14" ht="21.75" customHeight="1">
      <c r="A14" s="13" t="inlineStr">
        <is>
          <t xml:space="preserve">  Sample</t>
        </is>
      </c>
      <c r="B14" s="3" t="inlineStr">
        <is>
          <t>Black text on white background = FORMULA. Auto-calculated. Do not edit.</t>
        </is>
      </c>
      <c r="C14" s="43" t="n"/>
      <c r="D14" s="43" t="n"/>
      <c r="E14" s="43" t="n"/>
      <c r="F14" s="43" t="n"/>
    </row>
    <row r="15" ht="21.75" customHeight="1">
      <c r="A15" s="14" t="inlineStr">
        <is>
          <t xml:space="preserve">  Sample</t>
        </is>
      </c>
      <c r="B15" s="3" t="inlineStr">
        <is>
          <t>Green background = Improvement vs baseline (good direction).</t>
        </is>
      </c>
      <c r="C15" s="43" t="n"/>
      <c r="D15" s="43" t="n"/>
      <c r="E15" s="43" t="n"/>
      <c r="F15" s="43" t="n"/>
    </row>
    <row r="16" ht="21.75" customHeight="1">
      <c r="A16" s="15" t="inlineStr">
        <is>
          <t xml:space="preserve">  Sample</t>
        </is>
      </c>
      <c r="B16" s="3" t="inlineStr">
        <is>
          <t>Amber background = No change / marginal movement.</t>
        </is>
      </c>
      <c r="C16" s="43" t="n"/>
      <c r="D16" s="43" t="n"/>
      <c r="E16" s="43" t="n"/>
      <c r="F16" s="43" t="n"/>
    </row>
    <row r="17" ht="21.75" customHeight="1">
      <c r="A17" s="16" t="inlineStr">
        <is>
          <t xml:space="preserve">  Sample</t>
        </is>
      </c>
      <c r="B17" s="3" t="inlineStr">
        <is>
          <t>Red background = Deterioration vs baseline (needs attention).</t>
        </is>
      </c>
      <c r="C17" s="43" t="n"/>
      <c r="D17" s="43" t="n"/>
      <c r="E17" s="43" t="n"/>
      <c r="F17" s="43" t="n"/>
    </row>
    <row r="18" ht="21.75" customHeight="1">
      <c r="A18" s="17" t="inlineStr">
        <is>
          <t xml:space="preserve">  Sample</t>
        </is>
      </c>
      <c r="B18" s="3" t="inlineStr">
        <is>
          <t>Yellow background = Key assumption cell requiring attention.</t>
        </is>
      </c>
      <c r="C18" s="43" t="n"/>
      <c r="D18" s="43" t="n"/>
      <c r="E18" s="43" t="n"/>
      <c r="F18" s="43" t="n"/>
    </row>
  </sheetData>
  <mergeCells count="10">
    <mergeCell ref="A2:F2"/>
    <mergeCell ref="B16:F16"/>
    <mergeCell ref="B15:F15"/>
    <mergeCell ref="A1:F1"/>
    <mergeCell ref="A12:F12"/>
    <mergeCell ref="A4:F4"/>
    <mergeCell ref="B14:F14"/>
    <mergeCell ref="B17:F17"/>
    <mergeCell ref="B18:F18"/>
    <mergeCell ref="B13:F1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topLeftCell="A23" zoomScaleNormal="100" workbookViewId="0">
      <selection activeCell="A37" sqref="A37"/>
    </sheetView>
  </sheetViews>
  <sheetFormatPr baseColWidth="8" defaultColWidth="8.7109375" defaultRowHeight="15"/>
  <cols>
    <col width="38" customWidth="1" min="1" max="1"/>
    <col width="22" customWidth="1" min="2" max="3"/>
    <col width="35" customWidth="1" min="4" max="4"/>
    <col width="5" customWidth="1" min="5" max="5"/>
  </cols>
  <sheetData>
    <row r="1" ht="45" customHeight="1">
      <c r="A1" s="2" t="inlineStr">
        <is>
          <t>STEP 1 — Enter FY2026 Financial Data Here</t>
        </is>
      </c>
      <c r="B1" s="43" t="n"/>
      <c r="C1" s="43" t="n"/>
      <c r="D1" s="43" t="n"/>
      <c r="E1" s="43" t="n"/>
    </row>
    <row r="2" ht="24.75" customHeight="1">
      <c r="A2" s="5" t="inlineStr">
        <is>
          <t>Enter figures in SGD. Blue cells only. All other sheets update automatically.</t>
        </is>
      </c>
      <c r="B2" s="43" t="n"/>
      <c r="C2" s="43" t="n"/>
      <c r="D2" s="43" t="n"/>
      <c r="E2" s="43" t="n"/>
    </row>
    <row r="3" ht="9.75" customHeight="1"/>
    <row r="4" ht="34.5" customHeight="1">
      <c r="A4" s="18" t="inlineStr">
        <is>
          <t>Line Item</t>
        </is>
      </c>
      <c r="B4" s="18" t="inlineStr">
        <is>
          <t>FY2025 Baseline
(Original Report)</t>
        </is>
      </c>
      <c r="C4" s="18" t="inlineStr">
        <is>
          <t>FY2026 Actual
(Enter Here)</t>
        </is>
      </c>
      <c r="D4" s="18" t="inlineStr">
        <is>
          <t>Notes / Source</t>
        </is>
      </c>
      <c r="E4" s="18" t="n"/>
    </row>
    <row r="5" ht="21.75" customHeight="1">
      <c r="A5" s="1" t="inlineStr">
        <is>
          <t>BALANCE SHEET — As at 28 February 2026</t>
        </is>
      </c>
      <c r="B5" s="43" t="n"/>
      <c r="C5" s="43" t="n"/>
      <c r="D5" s="43" t="n"/>
      <c r="E5" s="43" t="n"/>
    </row>
    <row r="6" ht="19.5" customHeight="1">
      <c r="A6" s="19" t="inlineStr">
        <is>
          <t>CURRENT ASSETS</t>
        </is>
      </c>
      <c r="B6" s="20" t="n"/>
      <c r="C6" s="21" t="n"/>
      <c r="D6" s="22" t="n"/>
    </row>
    <row r="7" ht="19.5" customHeight="1">
      <c r="A7" s="23" t="inlineStr">
        <is>
          <t xml:space="preserve">    Cash and Cash Equivalents</t>
        </is>
      </c>
      <c r="B7" s="20" t="n">
        <v>14588105</v>
      </c>
      <c r="C7" s="21" t="n"/>
      <c r="D7" s="22" t="inlineStr">
        <is>
          <t>From bank statements / audited accounts</t>
        </is>
      </c>
    </row>
    <row r="8" ht="19.5" customHeight="1">
      <c r="A8" s="23" t="inlineStr">
        <is>
          <t xml:space="preserve">    Trade Receivables</t>
        </is>
      </c>
      <c r="B8" s="20" t="n"/>
      <c r="C8" s="21" t="n"/>
      <c r="D8" s="22" t="inlineStr">
        <is>
          <t>Gross amount before any provisions</t>
        </is>
      </c>
    </row>
    <row r="9" ht="19.5" customHeight="1">
      <c r="A9" s="23" t="inlineStr">
        <is>
          <t xml:space="preserve">    Other Current Assets</t>
        </is>
      </c>
      <c r="B9" s="20" t="n"/>
      <c r="C9" s="21" t="n"/>
      <c r="D9" s="22" t="inlineStr">
        <is>
          <t>Contract assets, prepayments, deposits</t>
        </is>
      </c>
    </row>
    <row r="10" ht="19.5" customHeight="1">
      <c r="A10" s="19" t="inlineStr">
        <is>
          <t>TOTAL CURRENT ASSETS</t>
        </is>
      </c>
      <c r="B10" s="20" t="n">
        <v>59122413</v>
      </c>
      <c r="C10" s="24" t="n"/>
      <c r="D10" s="22" t="inlineStr">
        <is>
          <t>Sum of all current assets above</t>
        </is>
      </c>
    </row>
    <row r="11" ht="19.5" customHeight="1">
      <c r="A11" s="19" t="inlineStr">
        <is>
          <t>CURRENT LIABILITIES</t>
        </is>
      </c>
      <c r="B11" s="20" t="n"/>
      <c r="C11" s="21" t="n"/>
      <c r="D11" s="22" t="n"/>
    </row>
    <row r="12" ht="19.5" customHeight="1">
      <c r="A12" s="23" t="inlineStr">
        <is>
          <t xml:space="preserve">    Trade Payables</t>
        </is>
      </c>
      <c r="B12" s="20" t="n"/>
      <c r="C12" s="21" t="n"/>
      <c r="D12" s="22" t="inlineStr">
        <is>
          <t>Amounts owed to suppliers</t>
        </is>
      </c>
    </row>
    <row r="13" ht="19.5" customHeight="1">
      <c r="A13" s="23" t="inlineStr">
        <is>
          <t xml:space="preserve">    Contract Liabilities</t>
        </is>
      </c>
      <c r="B13" s="20" t="n"/>
      <c r="C13" s="21" t="n"/>
      <c r="D13" s="22" t="inlineStr">
        <is>
          <t>Advance billings / progress billings received</t>
        </is>
      </c>
    </row>
    <row r="14" ht="19.5" customHeight="1">
      <c r="A14" s="23" t="inlineStr">
        <is>
          <t xml:space="preserve">    Other Current Liabilities</t>
        </is>
      </c>
      <c r="B14" s="20" t="n"/>
      <c r="C14" s="21" t="n"/>
      <c r="D14" s="22" t="inlineStr">
        <is>
          <t>Accruals, tax payable, other short-term</t>
        </is>
      </c>
    </row>
    <row r="15" ht="19.5" customHeight="1">
      <c r="A15" s="19" t="inlineStr">
        <is>
          <t>TOTAL CURRENT LIABILITIES</t>
        </is>
      </c>
      <c r="B15" s="20" t="n">
        <v>46217149</v>
      </c>
      <c r="C15" s="24" t="n"/>
      <c r="D15" s="22" t="inlineStr">
        <is>
          <t>Sum of all current liabilities above</t>
        </is>
      </c>
    </row>
    <row r="16" ht="19.5" customHeight="1">
      <c r="A16" s="19" t="inlineStr">
        <is>
          <t>NON-CURRENT LIABILITIES</t>
        </is>
      </c>
      <c r="B16" s="20" t="n"/>
      <c r="C16" s="21" t="n"/>
      <c r="D16" s="22" t="n"/>
    </row>
    <row r="17" ht="19.5" customHeight="1">
      <c r="A17" s="23" t="inlineStr">
        <is>
          <t xml:space="preserve">    Bank Borrowings (Long-Term)</t>
        </is>
      </c>
      <c r="B17" s="20" t="n"/>
      <c r="C17" s="21" t="n"/>
      <c r="D17" s="22" t="inlineStr">
        <is>
          <t>Term loans, hire purchase &gt; 12 months</t>
        </is>
      </c>
    </row>
    <row r="18" ht="19.5" customHeight="1">
      <c r="A18" s="23" t="inlineStr">
        <is>
          <t xml:space="preserve">    Other Non-Current Liabilities</t>
        </is>
      </c>
      <c r="B18" s="20" t="n"/>
      <c r="C18" s="21" t="n"/>
      <c r="D18" s="22" t="inlineStr">
        <is>
          <t>Deferred tax, provisions, etc.</t>
        </is>
      </c>
    </row>
    <row r="19" ht="19.5" customHeight="1">
      <c r="A19" s="19" t="inlineStr">
        <is>
          <t>TOTAL LIABILITIES</t>
        </is>
      </c>
      <c r="B19" s="20" t="n">
        <v>46381083</v>
      </c>
      <c r="C19" s="24" t="n"/>
      <c r="D19" s="22" t="inlineStr">
        <is>
          <t>Current + Non-current liabilities</t>
        </is>
      </c>
    </row>
    <row r="20" ht="19.5" customHeight="1">
      <c r="A20" s="19" t="inlineStr">
        <is>
          <t>SHAREHOLDERS' EQUITY (NET WORTH)</t>
        </is>
      </c>
      <c r="B20" s="20" t="n">
        <v>17113302</v>
      </c>
      <c r="C20" s="24" t="n"/>
      <c r="D20" s="22" t="inlineStr">
        <is>
          <t>Total Assets minus Total Liabilities</t>
        </is>
      </c>
    </row>
    <row r="21" ht="19.5" customHeight="1">
      <c r="A21" s="19" t="inlineStr">
        <is>
          <t>TOTAL ASSETS</t>
        </is>
      </c>
      <c r="B21" s="20" t="n">
        <v>63494385</v>
      </c>
      <c r="C21" s="24" t="n"/>
      <c r="D21" s="22" t="inlineStr">
        <is>
          <t>Total Liabilities + Equity</t>
        </is>
      </c>
    </row>
    <row r="22"/>
    <row r="23" ht="21.75" customHeight="1">
      <c r="A23" s="1" t="inlineStr">
        <is>
          <t>INCOME STATEMENT — Year Ending 28 February 2026</t>
        </is>
      </c>
      <c r="B23" s="43" t="n"/>
      <c r="C23" s="43" t="n"/>
      <c r="D23" s="43" t="n"/>
      <c r="E23" s="43" t="n"/>
    </row>
    <row r="24" ht="24" customHeight="1">
      <c r="A24" s="23" t="inlineStr">
        <is>
          <t>Revenue (Total Turnover)</t>
        </is>
      </c>
      <c r="B24" s="20" t="n">
        <v>141123520</v>
      </c>
      <c r="C24" s="21" t="n"/>
      <c r="D24" s="22" t="inlineStr">
        <is>
          <t>From audited accounts or management accounts</t>
        </is>
      </c>
    </row>
    <row r="25" ht="19.5" customHeight="1">
      <c r="A25" s="23" t="inlineStr">
        <is>
          <t>Cost of Sales</t>
        </is>
      </c>
      <c r="B25" s="20" t="n">
        <v>128380066</v>
      </c>
      <c r="C25" s="21" t="n"/>
      <c r="D25" s="22" t="inlineStr">
        <is>
          <t>Direct project costs</t>
        </is>
      </c>
    </row>
    <row r="26" ht="19.5" customHeight="1">
      <c r="A26" s="19" t="inlineStr">
        <is>
          <t>Gross Profit</t>
        </is>
      </c>
      <c r="B26" s="20" t="n">
        <v>12743454</v>
      </c>
      <c r="C26" s="21" t="n"/>
      <c r="D26" s="22" t="inlineStr">
        <is>
          <t>Revenue minus Cost of Sales</t>
        </is>
      </c>
    </row>
    <row r="27" ht="23.25" customHeight="1">
      <c r="A27" s="23" t="inlineStr">
        <is>
          <t>Operating Expenses (Overheads)</t>
        </is>
      </c>
      <c r="B27" s="20" t="n"/>
      <c r="C27" s="21" t="n"/>
      <c r="D27" s="22" t="inlineStr">
        <is>
          <t>Admin, staff, depreciation (excl. finance costs)</t>
        </is>
      </c>
    </row>
    <row r="28" ht="19.5" customHeight="1">
      <c r="A28" s="19" t="inlineStr">
        <is>
          <t>EBIT (Earnings Before Interest &amp; Tax)</t>
        </is>
      </c>
      <c r="B28" s="20" t="n"/>
      <c r="C28" s="21" t="n"/>
      <c r="D28" s="22" t="inlineStr">
        <is>
          <t>Gross Profit minus Operating Expenses</t>
        </is>
      </c>
    </row>
    <row r="29" ht="19.5" customHeight="1">
      <c r="A29" s="23" t="inlineStr">
        <is>
          <t>Finance Costs (Interest Expense)</t>
        </is>
      </c>
      <c r="B29" s="20" t="n"/>
      <c r="C29" s="21" t="n"/>
      <c r="D29" s="22" t="inlineStr">
        <is>
          <t>Bank interest and finance charges</t>
        </is>
      </c>
    </row>
    <row r="30" ht="19.5" customHeight="1">
      <c r="A30" s="19" t="inlineStr">
        <is>
          <t>Net Profit After Tax</t>
        </is>
      </c>
      <c r="B30" s="20" t="n">
        <v>5692536</v>
      </c>
      <c r="C30" s="21" t="n"/>
      <c r="D30" s="22" t="inlineStr">
        <is>
          <t>Bottom line from P&amp;L</t>
        </is>
      </c>
    </row>
    <row r="31"/>
    <row r="32" ht="21.75" customHeight="1">
      <c r="A32" s="1" t="inlineStr">
        <is>
          <t>ADDITIONAL DATA — Required for Ratio Calculations</t>
        </is>
      </c>
      <c r="B32" s="43" t="n"/>
      <c r="C32" s="43" t="n"/>
      <c r="D32" s="43" t="n"/>
      <c r="E32" s="43" t="n"/>
    </row>
    <row r="33" ht="26.25" customHeight="1">
      <c r="A33" s="25" t="inlineStr">
        <is>
          <t>Trade Receivables (Closing Balance)</t>
        </is>
      </c>
      <c r="B33" s="26" t="inlineStr">
        <is>
          <t>—</t>
        </is>
      </c>
      <c r="C33" s="21" t="n"/>
      <c r="D33" s="22" t="inlineStr">
        <is>
          <t>From Balance Sheet — used for collection period</t>
        </is>
      </c>
    </row>
    <row r="34" ht="24.75" customHeight="1">
      <c r="A34" s="25" t="inlineStr">
        <is>
          <t>Trade Payables (Closing Balance)</t>
        </is>
      </c>
      <c r="B34" s="26" t="inlineStr">
        <is>
          <t>—</t>
        </is>
      </c>
      <c r="C34" s="21" t="n"/>
      <c r="D34" s="22" t="inlineStr">
        <is>
          <t>From Balance Sheet — used for payment period</t>
        </is>
      </c>
    </row>
    <row r="35" ht="27" customHeight="1">
      <c r="A35" s="25" t="inlineStr">
        <is>
          <t>SCCB Payment Rating (Updated)</t>
        </is>
      </c>
      <c r="B35" s="26" t="inlineStr">
        <is>
          <t>—</t>
        </is>
      </c>
      <c r="C35" s="21" t="n"/>
      <c r="D35" s="22" t="inlineStr">
        <is>
          <t>From updated SCCB Comprehensive Report (out of 100)</t>
        </is>
      </c>
    </row>
    <row r="36" ht="26.25" customHeight="1">
      <c r="A36" s="25" t="inlineStr">
        <is>
          <t>No. of Slow-Pay Markers (SCCB)</t>
        </is>
      </c>
      <c r="B36" s="26" t="inlineStr">
        <is>
          <t>—</t>
        </is>
      </c>
      <c r="C36" s="21" t="n"/>
      <c r="D36" s="22" t="inlineStr">
        <is>
          <t>Count of slow/late payment entries in updated SCCB</t>
        </is>
      </c>
    </row>
    <row r="37" ht="27.75" customHeight="1">
      <c r="A37" s="25" t="inlineStr">
        <is>
          <t>Days Beyond Terms / DBT (SCCB)</t>
        </is>
      </c>
      <c r="B37" s="26" t="inlineStr">
        <is>
          <t>—</t>
        </is>
      </c>
      <c r="C37" s="21" t="n"/>
      <c r="D37" s="22" t="inlineStr">
        <is>
          <t>From updated SCCB report — average days beyond agreed terms</t>
        </is>
      </c>
    </row>
  </sheetData>
  <mergeCells count="5">
    <mergeCell ref="A2:E2"/>
    <mergeCell ref="A1:E1"/>
    <mergeCell ref="A23:E23"/>
    <mergeCell ref="A32:E32"/>
    <mergeCell ref="A5:E5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zoomScaleNormal="100" workbookViewId="0">
      <selection activeCell="A6" sqref="A6"/>
    </sheetView>
  </sheetViews>
  <sheetFormatPr baseColWidth="8" defaultColWidth="8.7109375" defaultRowHeight="15"/>
  <cols>
    <col width="28" customWidth="1" min="1" max="1"/>
    <col width="18" customWidth="1" min="2" max="2"/>
    <col width="45" customWidth="1" min="3" max="3"/>
    <col width="18" customWidth="1" min="4" max="5"/>
    <col width="15" customWidth="1" min="6" max="6"/>
    <col width="40" customWidth="1" min="7" max="7"/>
  </cols>
  <sheetData>
    <row r="1" ht="45" customHeight="1">
      <c r="A1" s="2" t="inlineStr">
        <is>
          <t>STEP 2 — Ratio Calculator (Auto-Updates from Data Entry Sheet)</t>
        </is>
      </c>
      <c r="B1" s="43" t="n"/>
      <c r="C1" s="43" t="n"/>
      <c r="D1" s="43" t="n"/>
      <c r="E1" s="43" t="n"/>
      <c r="F1" s="43" t="n"/>
      <c r="G1" s="43" t="n"/>
    </row>
    <row r="2" ht="24.75" customHeight="1">
      <c r="A2" s="5" t="inlineStr">
        <is>
          <t>All ratios are calculated automatically. Each section shows the formula, what it measures, and how to interpret the result.</t>
        </is>
      </c>
      <c r="B2" s="43" t="n"/>
      <c r="C2" s="43" t="n"/>
      <c r="D2" s="43" t="n"/>
      <c r="E2" s="43" t="n"/>
      <c r="F2" s="43" t="n"/>
      <c r="G2" s="43" t="n"/>
    </row>
    <row r="3"/>
    <row r="4" ht="34.5" customHeight="1">
      <c r="A4" s="18" t="inlineStr">
        <is>
          <t>Ratio Name</t>
        </is>
      </c>
      <c r="B4" s="18" t="inlineStr">
        <is>
          <t>Formula</t>
        </is>
      </c>
      <c r="C4" s="18" t="inlineStr">
        <is>
          <t>How to Calculate</t>
        </is>
      </c>
      <c r="D4" s="18" t="inlineStr">
        <is>
          <t>FY2025 Baseline</t>
        </is>
      </c>
      <c r="E4" s="18" t="inlineStr">
        <is>
          <t>FY2026 Result</t>
        </is>
      </c>
      <c r="F4" s="18" t="inlineStr">
        <is>
          <t>Target</t>
        </is>
      </c>
      <c r="G4" s="18" t="inlineStr">
        <is>
          <t>Interpretation</t>
        </is>
      </c>
    </row>
    <row r="5" ht="21.75" customHeight="1">
      <c r="A5" s="1" t="inlineStr">
        <is>
          <t>1. LIQUIDITY RATIOS — Can the Company pay its short-term debts?</t>
        </is>
      </c>
      <c r="B5" s="43" t="n"/>
      <c r="C5" s="43" t="n"/>
      <c r="D5" s="43" t="n"/>
      <c r="E5" s="43" t="n"/>
      <c r="F5" s="43" t="n"/>
      <c r="G5" s="43" t="n"/>
    </row>
    <row r="6" ht="50.25" customHeight="1">
      <c r="A6" s="27" t="inlineStr">
        <is>
          <t>Current Ratio</t>
        </is>
      </c>
      <c r="B6" s="28" t="inlineStr">
        <is>
          <t>Current Assets ÷ Current Liabilities</t>
        </is>
      </c>
      <c r="C6" s="29" t="inlineStr">
        <is>
          <t>Shows whether the Company has enough short-term assets to cover its short-term debts. A ratio above 1.0x means assets exceed liabilities. Target for SCCB improvement: ≥1.50x.</t>
        </is>
      </c>
      <c r="D6" s="30" t="inlineStr">
        <is>
          <t>1.28x</t>
        </is>
      </c>
      <c r="E6" s="31">
        <f>IFERROR('Data Entry'!C10/'Data Entry'!C15,"Enter data")</f>
        <v/>
      </c>
      <c r="F6" s="32" t="inlineStr">
        <is>
          <t>≥ 1.50x</t>
        </is>
      </c>
      <c r="G6" s="33" t="inlineStr">
        <is>
          <t>Below 1.0x = high risk. 1.0x–1.5x = moderate. Above 1.5x = healthy. The Company must reduce current liabilities (trade payables) to move this upward.</t>
        </is>
      </c>
    </row>
    <row r="7" ht="45" customHeight="1">
      <c r="A7" s="27" t="inlineStr">
        <is>
          <t>Quick Ratio (Acid Test)</t>
        </is>
      </c>
      <c r="B7" s="28" t="inlineStr">
        <is>
          <t>(Current Assets − Inventory) ÷ Current Liabilities</t>
        </is>
      </c>
      <c r="C7" s="29" t="inlineStr">
        <is>
          <t>A stricter version of the current ratio that excludes inventory. Since The Company has minimal inventory (construction company), this closely mirrors the current ratio.</t>
        </is>
      </c>
      <c r="D7" s="30" t="inlineStr">
        <is>
          <t>1.28x</t>
        </is>
      </c>
      <c r="E7" s="31">
        <f>IFERROR('Data Entry'!C10/'Data Entry'!C15,"Enter data")</f>
        <v/>
      </c>
      <c r="F7" s="32" t="inlineStr">
        <is>
          <t>≥ 1.50x</t>
        </is>
      </c>
      <c r="G7" s="33" t="inlineStr">
        <is>
          <t>For construction companies, quick ratio ≈ current ratio since inventory is minimal. Same interpretation applies.</t>
        </is>
      </c>
    </row>
    <row r="8" ht="45" customHeight="1">
      <c r="A8" s="27" t="inlineStr">
        <is>
          <t>Cash Ratio</t>
        </is>
      </c>
      <c r="B8" s="28" t="inlineStr">
        <is>
          <t>Cash ÷ Current Liabilities</t>
        </is>
      </c>
      <c r="C8" s="29" t="inlineStr">
        <is>
          <t>The most conservative liquidity measure — shows how much of short-term debt could be paid with cash on hand right now.</t>
        </is>
      </c>
      <c r="D8" s="30" t="inlineStr">
        <is>
          <t>0.32x</t>
        </is>
      </c>
      <c r="E8" s="31">
        <f>IFERROR('Data Entry'!C7/'Data Entry'!C15,"Enter data")</f>
        <v/>
      </c>
      <c r="F8" s="32" t="inlineStr">
        <is>
          <t>≥ 0.30x</t>
        </is>
      </c>
      <c r="G8" s="33" t="inlineStr">
        <is>
          <t>A ratio of 0.30x means the Company can cover 30% of its current liabilities with cash alone. Not expected to be high for a project-based business.</t>
        </is>
      </c>
    </row>
    <row r="9" ht="45" customHeight="1">
      <c r="A9" s="27" t="inlineStr">
        <is>
          <t>Working Capital (SGD)</t>
        </is>
      </c>
      <c r="B9" s="28" t="inlineStr">
        <is>
          <t>Current Assets − Current Liabilities</t>
        </is>
      </c>
      <c r="C9" s="29" t="inlineStr">
        <is>
          <t>The absolute dollar buffer the Company has after paying all short-term debts. Positive = solvent. Growing working capital signals improving financial health.</t>
        </is>
      </c>
      <c r="D9" s="30" t="inlineStr">
        <is>
          <t>SGD 12,905,264</t>
        </is>
      </c>
      <c r="E9" s="31">
        <f>IFERROR('Data Entry'!C10-'Data Entry'!C15,"Enter data")</f>
        <v/>
      </c>
      <c r="F9" s="32" t="inlineStr">
        <is>
          <t>Growth vs FY2025</t>
        </is>
      </c>
      <c r="G9" s="33" t="inlineStr">
        <is>
          <t>FY2025 working capital was SGD 12.9M. An increase signals the Company is accumulating financial strength.</t>
        </is>
      </c>
    </row>
    <row r="10"/>
    <row r="11" ht="21.75" customHeight="1">
      <c r="A11" s="1" t="inlineStr">
        <is>
          <t>2. LEVERAGE RATIOS — How much does the Company rely on debt?</t>
        </is>
      </c>
      <c r="B11" s="43" t="n"/>
      <c r="C11" s="43" t="n"/>
      <c r="D11" s="43" t="n"/>
      <c r="E11" s="43" t="n"/>
      <c r="F11" s="43" t="n"/>
      <c r="G11" s="43" t="n"/>
    </row>
    <row r="12" ht="45" customHeight="1">
      <c r="A12" s="27" t="inlineStr">
        <is>
          <t>Total Debt to Equity (D/E)</t>
        </is>
      </c>
      <c r="B12" s="28" t="inlineStr">
        <is>
          <t>Total Liabilities ÷ Shareholders' Equity × 100</t>
        </is>
      </c>
      <c r="C12" s="29" t="inlineStr">
        <is>
          <t>Shows what percentage of the Company's financing comes from debt vs. owner funds. High D/E means more reliance on debt, which increases credit risk.</t>
        </is>
      </c>
      <c r="D12" s="30" t="inlineStr">
        <is>
          <t>271.02%</t>
        </is>
      </c>
      <c r="E12" s="31">
        <f>IFERROR('Data Entry'!C19/'Data Entry'!C20,"Enter data")</f>
        <v/>
      </c>
      <c r="F12" s="32" t="inlineStr">
        <is>
          <t>Below 200%</t>
        </is>
      </c>
      <c r="G12" s="33" t="inlineStr">
        <is>
          <t>FY2025 D/E of 271% was driven by large trade payables from two major projects. As payables settle, this should fall. Target: below 200% to signal lower risk to SCCB.</t>
        </is>
      </c>
    </row>
    <row r="13" ht="45" customHeight="1">
      <c r="A13" s="27" t="inlineStr">
        <is>
          <t>Total Debt to Assets (D/A)</t>
        </is>
      </c>
      <c r="B13" s="28" t="inlineStr">
        <is>
          <t>Total Liabilities ÷ Total Assets × 100</t>
        </is>
      </c>
      <c r="C13" s="29" t="inlineStr">
        <is>
          <t>Shows what proportion of the Company's assets are financed by debt. A lower ratio means more of the Company's assets are owned outright.</t>
        </is>
      </c>
      <c r="D13" s="30" t="inlineStr">
        <is>
          <t>73.05%</t>
        </is>
      </c>
      <c r="E13" s="31">
        <f>IFERROR('Data Entry'!C19/'Data Entry'!C21,"Enter data")</f>
        <v/>
      </c>
      <c r="F13" s="32" t="inlineStr">
        <is>
          <t>Below 60%</t>
        </is>
      </c>
      <c r="G13" s="33" t="inlineStr">
        <is>
          <t>73% means debt finances 73 cents of every dollar of assets. Target: below 60%, achievable as trade payables unwind.</t>
        </is>
      </c>
    </row>
    <row r="14" ht="45" customHeight="1">
      <c r="A14" s="27" t="inlineStr">
        <is>
          <t>Interest Coverage Ratio</t>
        </is>
      </c>
      <c r="B14" s="28" t="inlineStr">
        <is>
          <t>EBIT ÷ Finance Costs (Interest)</t>
        </is>
      </c>
      <c r="C14" s="29" t="inlineStr">
        <is>
          <t>Shows how many times the Company can pay its interest from operating profit. Higher = safer. SCCB weights this heavily for construction companies.</t>
        </is>
      </c>
      <c r="D14" s="30" t="inlineStr">
        <is>
          <t>160.82x</t>
        </is>
      </c>
      <c r="E14" s="31">
        <f>IFERROR('Data Entry'!C28/'Data Entry'!C29,"Enter data")</f>
        <v/>
      </c>
      <c r="F14" s="32" t="inlineStr">
        <is>
          <t>Maintain &gt; 10x</t>
        </is>
      </c>
      <c r="G14" s="33" t="inlineStr">
        <is>
          <t>FY2025 coverage of 160x was exceptionally strong. Any result above 10x is considered safe by lenders. Maintain this level.</t>
        </is>
      </c>
    </row>
    <row r="15"/>
    <row r="16" ht="21.75" customHeight="1">
      <c r="A16" s="1" t="inlineStr">
        <is>
          <t>3. PROFITABILITY RATIOS — Is the Company making money efficiently?</t>
        </is>
      </c>
      <c r="B16" s="43" t="n"/>
      <c r="C16" s="43" t="n"/>
      <c r="D16" s="43" t="n"/>
      <c r="E16" s="43" t="n"/>
      <c r="F16" s="43" t="n"/>
      <c r="G16" s="43" t="n"/>
    </row>
    <row r="17" ht="45" customHeight="1">
      <c r="A17" s="27" t="inlineStr">
        <is>
          <t>Gross Profit Margin</t>
        </is>
      </c>
      <c r="B17" s="28" t="inlineStr">
        <is>
          <t>Gross Profit ÷ Revenue × 100</t>
        </is>
      </c>
      <c r="C17" s="29" t="inlineStr">
        <is>
          <t>Shows what percentage of revenue remains after paying direct project costs. Construction sector median is approximately 8–10%.</t>
        </is>
      </c>
      <c r="D17" s="30" t="inlineStr">
        <is>
          <t>9.03%</t>
        </is>
      </c>
      <c r="E17" s="31">
        <f>IFERROR(('Data Entry'!C24-'Data Entry'!C25)/'Data Entry'!C24,"Enter data")</f>
        <v/>
      </c>
      <c r="F17" s="32" t="inlineStr">
        <is>
          <t>Maintain ≥ 8%</t>
        </is>
      </c>
      <c r="G17" s="33" t="inlineStr">
        <is>
          <t>FY2025 gross margin of 9.03% was above the sector median. Maintaining this level signals disciplined project cost management.</t>
        </is>
      </c>
    </row>
    <row r="18" ht="48.75" customHeight="1">
      <c r="A18" s="27" t="inlineStr">
        <is>
          <t>Net Profit Margin</t>
        </is>
      </c>
      <c r="B18" s="28" t="inlineStr">
        <is>
          <t>Net Profit After Tax ÷ Revenue × 100</t>
        </is>
      </c>
      <c r="C18" s="29" t="inlineStr">
        <is>
          <t>The bottom-line percentage — what the Company keeps from each dollar of revenue after all costs, interest, and tax.</t>
        </is>
      </c>
      <c r="D18" s="30" t="inlineStr">
        <is>
          <t>4.03%</t>
        </is>
      </c>
      <c r="E18" s="31">
        <f>IFERROR('Data Entry'!C30/'Data Entry'!C24,"Enter data")</f>
        <v/>
      </c>
      <c r="F18" s="32" t="inlineStr">
        <is>
          <t>Maintain ≥ 4%</t>
        </is>
      </c>
      <c r="G18" s="33" t="inlineStr">
        <is>
          <t>FY2025 net margin was 4.03%. Even a small margin on SGD 141M revenue generates significant profit. Lenders look for this to be positive and stable.</t>
        </is>
      </c>
    </row>
    <row r="19" ht="45" customHeight="1">
      <c r="A19" s="27" t="inlineStr">
        <is>
          <t>Return on Assets (ROA)</t>
        </is>
      </c>
      <c r="B19" s="28" t="inlineStr">
        <is>
          <t>Net Profit After Tax ÷ Total Assets × 100</t>
        </is>
      </c>
      <c r="C19" s="29" t="inlineStr">
        <is>
          <t>Measures how efficiently the Company uses its assets to generate profit. Above the sector median signals effective asset utilisation.</t>
        </is>
      </c>
      <c r="D19" s="30" t="inlineStr">
        <is>
          <t>8.97%</t>
        </is>
      </c>
      <c r="E19" s="31">
        <f>IFERROR('Data Entry'!C30/'Data Entry'!C21,"Enter data")</f>
        <v/>
      </c>
      <c r="F19" s="32" t="inlineStr">
        <is>
          <t>Maintain &gt; 5%</t>
        </is>
      </c>
      <c r="G19" s="33" t="inlineStr">
        <is>
          <t>FY2025 ROA of 8.97% was well above the SCCB sector median of ~5%. Maintain above 5% to support the Financial Condition rating.</t>
        </is>
      </c>
    </row>
    <row r="20" ht="50.25" customHeight="1">
      <c r="A20" s="27" t="inlineStr">
        <is>
          <t>Return on Equity (ROE)</t>
        </is>
      </c>
      <c r="B20" s="28" t="inlineStr">
        <is>
          <t>Net Profit After Tax ÷ Shareholders' Equity × 100</t>
        </is>
      </c>
      <c r="C20" s="29" t="inlineStr">
        <is>
          <t>Shows how much profit the Company generates per dollar of owner equity. High ROE signals strong returns for shareholders.</t>
        </is>
      </c>
      <c r="D20" s="30" t="inlineStr">
        <is>
          <t>33.26%</t>
        </is>
      </c>
      <c r="E20" s="31">
        <f>IFERROR('Data Entry'!C30/'Data Entry'!C20,"Enter data")</f>
        <v/>
      </c>
      <c r="F20" s="32" t="inlineStr">
        <is>
          <t>Maintain &gt; 10%</t>
        </is>
      </c>
      <c r="G20" s="33" t="inlineStr">
        <is>
          <t>FY2025 ROE of 33.26% was exceptionally high, partly due to the large leverage base. As D/E improves, ROE will moderate — this is expected and healthy.</t>
        </is>
      </c>
    </row>
    <row r="21"/>
    <row r="22" ht="21.75" customHeight="1">
      <c r="A22" s="1" t="inlineStr">
        <is>
          <t>4. EFFICIENCY RATIOS — How fast does the Company collect and pay?</t>
        </is>
      </c>
      <c r="B22" s="43" t="n"/>
      <c r="C22" s="43" t="n"/>
      <c r="D22" s="43" t="n"/>
      <c r="E22" s="43" t="n"/>
      <c r="F22" s="43" t="n"/>
      <c r="G22" s="43" t="n"/>
    </row>
    <row r="23" ht="45" customHeight="1">
      <c r="A23" s="27" t="inlineStr">
        <is>
          <t>Collection Period (Days)</t>
        </is>
      </c>
      <c r="B23" s="28" t="inlineStr">
        <is>
          <t>(Trade Receivables ÷ Revenue) × 365</t>
        </is>
      </c>
      <c r="C23" s="29" t="inlineStr">
        <is>
          <t>How many days on average it takes for the Company to collect payment from its customers after completing work. Lower = faster collection.</t>
        </is>
      </c>
      <c r="D23" s="30" t="inlineStr">
        <is>
          <t>47.20 days</t>
        </is>
      </c>
      <c r="E23" s="31">
        <f>IFERROR(('Data Entry'!C33/'Data Entry'!C24)*365,"Enter data")</f>
        <v/>
      </c>
      <c r="F23" s="32" t="inlineStr">
        <is>
          <t>Below 60 days</t>
        </is>
      </c>
      <c r="G23" s="33" t="inlineStr">
        <is>
          <t>FY2025 collection period of 47 days was a strong improvement from 68 days in FY2024. Maintaining below 60 days is the target.</t>
        </is>
      </c>
    </row>
    <row r="24" ht="48.75" customHeight="1">
      <c r="A24" s="27" t="inlineStr">
        <is>
          <t>Payment Period (Days)</t>
        </is>
      </c>
      <c r="B24" s="28" t="inlineStr">
        <is>
          <t>(Trade Payables ÷ Cost of Sales) × 365</t>
        </is>
      </c>
      <c r="C24" s="29" t="inlineStr">
        <is>
          <t>How many days on average the Company takes to pay its own suppliers. This is the MOST IMPORTANT ratio for SCCB payment score improvement.</t>
        </is>
      </c>
      <c r="D24" s="30" t="inlineStr">
        <is>
          <t>80.84 days</t>
        </is>
      </c>
      <c r="E24" s="31">
        <f>IFERROR(('Data Entry'!C34/'Data Entry'!C25)*365,"Enter data")</f>
        <v/>
      </c>
      <c r="F24" s="32" t="inlineStr">
        <is>
          <t>Below 60 days</t>
        </is>
      </c>
      <c r="G24" s="33" t="inlineStr">
        <is>
          <t>CRITICAL: At 80.84 days, the Company is paying suppliers nearly 3 months after receiving goods/services. Reducing this directly improves the SCCB payment score. Target: below 60 days.</t>
        </is>
      </c>
    </row>
    <row r="25" ht="60" customHeight="1">
      <c r="A25" s="27" t="inlineStr">
        <is>
          <t>Asset Turnover</t>
        </is>
      </c>
      <c r="B25" s="28" t="inlineStr">
        <is>
          <t>Revenue ÷ Total Assets</t>
        </is>
      </c>
      <c r="C25" s="29" t="inlineStr">
        <is>
          <t>How efficiently the Company uses its assets to generate revenue. A ratio of 2.0x means every SGD 1 of assets generates SGD 2 of revenue.</t>
        </is>
      </c>
      <c r="D25" s="30" t="inlineStr">
        <is>
          <t>2.22x</t>
        </is>
      </c>
      <c r="E25" s="31">
        <f>IFERROR('Data Entry'!C24/'Data Entry'!C21,"Enter data")</f>
        <v/>
      </c>
      <c r="F25" s="32" t="inlineStr">
        <is>
          <t>Maintain &gt; 1.5x</t>
        </is>
      </c>
      <c r="G25" s="33" t="inlineStr">
        <is>
          <t>FY2025 asset turnover of 2.22x was above the sector median of 1.08x. This reflects the Company's ability to generate high revenue from its asset base.</t>
        </is>
      </c>
    </row>
  </sheetData>
  <mergeCells count="6">
    <mergeCell ref="A1:G1"/>
    <mergeCell ref="A22:G22"/>
    <mergeCell ref="A16:G16"/>
    <mergeCell ref="A2:G2"/>
    <mergeCell ref="A11:G11"/>
    <mergeCell ref="A5:G5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topLeftCell="A9" zoomScaleNormal="100" workbookViewId="0">
      <selection activeCell="A9" sqref="A9"/>
    </sheetView>
  </sheetViews>
  <sheetFormatPr baseColWidth="8" defaultColWidth="8.7109375" defaultRowHeight="15"/>
  <cols>
    <col width="32" customWidth="1" min="1" max="1"/>
    <col width="20" customWidth="1" min="2" max="3"/>
    <col width="14" customWidth="1" min="4" max="5"/>
    <col width="8" customWidth="1" min="6" max="6"/>
    <col width="55" customWidth="1" min="7" max="7"/>
  </cols>
  <sheetData>
    <row r="1" ht="45" customHeight="1">
      <c r="A1" s="2" t="inlineStr">
        <is>
          <t>STEP 3 — Credit Progress Tracker (Before vs After)</t>
        </is>
      </c>
      <c r="B1" s="43" t="n"/>
      <c r="C1" s="43" t="n"/>
      <c r="D1" s="43" t="n"/>
      <c r="E1" s="43" t="n"/>
      <c r="F1" s="43" t="n"/>
      <c r="G1" s="43" t="n"/>
    </row>
    <row r="2" ht="24.75" customHeight="1">
      <c r="A2" s="5" t="inlineStr">
        <is>
          <t>FY2026 column auto-updates from Data Entry. Movement column shows direction of change. Use Scenario column for final narrative.</t>
        </is>
      </c>
      <c r="B2" s="43" t="n"/>
      <c r="C2" s="43" t="n"/>
      <c r="D2" s="43" t="n"/>
      <c r="E2" s="43" t="n"/>
      <c r="F2" s="43" t="n"/>
      <c r="G2" s="43" t="n"/>
    </row>
    <row r="3"/>
    <row r="4" ht="30" customHeight="1">
      <c r="A4" s="18" t="inlineStr">
        <is>
          <t>Metric</t>
        </is>
      </c>
      <c r="B4" s="18" t="inlineStr">
        <is>
          <t>FY2025 Baseline</t>
        </is>
      </c>
      <c r="C4" s="18" t="inlineStr">
        <is>
          <t>FY2026 Result</t>
        </is>
      </c>
      <c r="D4" s="18" t="inlineStr">
        <is>
          <t>Movement</t>
        </is>
      </c>
      <c r="E4" s="18" t="inlineStr">
        <is>
          <t>Target</t>
        </is>
      </c>
      <c r="F4" s="18" t="inlineStr">
        <is>
          <t>Met?</t>
        </is>
      </c>
      <c r="G4" s="18" t="inlineStr">
        <is>
          <t>Scenario Narrative (Copy-Paste to Report)</t>
        </is>
      </c>
    </row>
    <row r="5" ht="117.75" customHeight="1">
      <c r="A5" s="27" t="inlineStr">
        <is>
          <t>Current Ratio</t>
        </is>
      </c>
      <c r="B5" s="34" t="inlineStr">
        <is>
          <t>1.28x</t>
        </is>
      </c>
      <c r="C5" s="35">
        <f>IFERROR('Ratio Calculator'!E6,"Pending")</f>
        <v/>
      </c>
      <c r="D5" s="13">
        <f>IFERROR(IF('Ratio Calculator'!E6="Pending","—",IF('Ratio Calculator'!E6&gt;=1.5,"▲ Improved",IF('Ratio Calculator'!E6&gt;=1.5*0.95,"→ Marginal","▼ Declined"))),"—")</f>
        <v/>
      </c>
      <c r="E5" s="14" t="inlineStr">
        <is>
          <t>≥ 1.50x</t>
        </is>
      </c>
      <c r="F5" s="13">
        <f>IFERROR(IF('Ratio Calculator'!E6="Pending","—",IF('Ratio Calculator'!E6&gt;=1.5,"✓ YES","✗ NO")),"—")</f>
        <v/>
      </c>
      <c r="G5" s="36" t="inlineStr">
        <is>
          <t>▲ GOOD: The current ratio has improved to [X]x, exceeding the 1.50x target. This directly supports the CA2 rating objective.
→ NEUTRAL: The current ratio has held broadly stable at [X]x. Continued trade payable reduction is required to reach the 1.50x target.
▼ CONCERN: The current ratio has declined to [X]x. Immediate action on trade payable settlement is required.</t>
        </is>
      </c>
    </row>
    <row r="6" ht="121.5" customHeight="1">
      <c r="A6" s="27" t="inlineStr">
        <is>
          <t>Payment Period</t>
        </is>
      </c>
      <c r="B6" s="34" t="inlineStr">
        <is>
          <t>80.84 days</t>
        </is>
      </c>
      <c r="C6" s="37">
        <f>IFERROR('Ratio Calculator'!E24,"Pending")</f>
        <v/>
      </c>
      <c r="D6" s="13">
        <f>IFERROR(IF('Ratio Calculator'!E24="Pending","—",IF('Ratio Calculator'!E24&lt;=60,"▲ Improved",IF('Ratio Calculator'!E24&lt;=60*1.05,"→ Marginal","▼ Declined"))),"—")</f>
        <v/>
      </c>
      <c r="E6" s="14" t="inlineStr">
        <is>
          <t>&lt; 60 days</t>
        </is>
      </c>
      <c r="F6" s="13">
        <f>IFERROR(IF('Ratio Calculator'!E24="Pending","—",IF('Ratio Calculator'!E24&lt;=60,"✓ YES","✗ NO")),"—")</f>
        <v/>
      </c>
      <c r="G6" s="36" t="inlineStr">
        <is>
          <t>▲ GOOD: The payment period has reduced to [X] days, below the 60-day target. This is the most impactful improvement for the SCCB payment score.
→ NEUTRAL: The payment period remains above 60 days at [X] days. Focused supplier payment prioritisation is required.
▼ CONCERN: The payment period has increased to [X] days. This will negatively affect the SCCB payment rating and requires immediate intervention.</t>
        </is>
      </c>
    </row>
    <row r="7" ht="90" customHeight="1">
      <c r="A7" s="27" t="inlineStr">
        <is>
          <t>Total Debt to Equity</t>
        </is>
      </c>
      <c r="B7" s="34" t="inlineStr">
        <is>
          <t>271.02%</t>
        </is>
      </c>
      <c r="C7" s="38">
        <f>IFERROR('Ratio Calculator'!E12,"Pending")</f>
        <v/>
      </c>
      <c r="D7" s="13">
        <f>IFERROR(IF('Ratio Calculator'!E12="Pending","—",IF('Ratio Calculator'!E12&lt;=200,"▲ Improved",IF('Ratio Calculator'!E12&lt;=200*1.05,"→ Marginal","▼ Declined"))),"—")</f>
        <v/>
      </c>
      <c r="E7" s="14" t="inlineStr">
        <is>
          <t>&lt; 200%</t>
        </is>
      </c>
      <c r="F7" s="13">
        <f>IFERROR(IF('Ratio Calculator'!E12="Pending","—",IF('Ratio Calculator'!E12&lt;=200,"✓ YES","✗ NO")),"—")</f>
        <v/>
      </c>
      <c r="G7" s="36" t="inlineStr">
        <is>
          <t>▲ GOOD: Debt-to-equity has reduced to [X]%, below the 200% target. This signals materially lower financial risk to SCCB.
→ NEUTRAL: Debt-to-equity remains elevated at [X]%. Trade payable settlement is the primary lever to reduce this ratio.
▼ CONCERN: Debt-to-equity has increased to [X]%. This indicates the Company's debt burden has grown relative to its equity base.</t>
        </is>
      </c>
    </row>
    <row r="8" ht="90" customHeight="1">
      <c r="A8" s="27" t="inlineStr">
        <is>
          <t>Net Profit Margin</t>
        </is>
      </c>
      <c r="B8" s="34" t="inlineStr">
        <is>
          <t>4.03%</t>
        </is>
      </c>
      <c r="C8" s="38">
        <f>IFERROR('Ratio Calculator'!E18,"Pending")</f>
        <v/>
      </c>
      <c r="D8" s="13">
        <f>IFERROR(IF('Ratio Calculator'!E18="Pending","—",IF('Ratio Calculator'!E18&gt;=0.04,"▲ Improved",IF('Ratio Calculator'!E18&gt;=0.04*0.95,"→ Marginal","▼ Declined"))),"—")</f>
        <v/>
      </c>
      <c r="E8" s="14" t="inlineStr">
        <is>
          <t>≥ 4.0%</t>
        </is>
      </c>
      <c r="F8" s="13">
        <f>IFERROR(IF('Ratio Calculator'!E18="Pending","—",IF('Ratio Calculator'!E18&gt;=0.04,"✓ YES","✗ NO")),"—")</f>
        <v/>
      </c>
      <c r="G8" s="36" t="inlineStr">
        <is>
          <t>▲ GOOD: Net margin has been maintained at [X]%, demonstrating sustained profitability as the major FY2025 projects mature.
→ NEUTRAL: Net margin has moderated to [X]%, which is within the acceptable range for the sector.
▼ CONCERN: Net margin has declined to [X]%. If below 2%, this may signal margin compression on large projects requiring management attention.</t>
        </is>
      </c>
    </row>
    <row r="9" ht="123.75" customHeight="1">
      <c r="A9" s="27" t="inlineStr">
        <is>
          <t>SCCB Payment Rating</t>
        </is>
      </c>
      <c r="B9" s="34" t="inlineStr">
        <is>
          <t>59/100</t>
        </is>
      </c>
      <c r="C9" s="37">
        <f>IFERROR('Data Entry'!C35,"Pending")</f>
        <v/>
      </c>
      <c r="D9" s="13">
        <f>IFERROR(IF('Data Entry'!C35="Pending","—",IF('Data Entry'!C35&gt;=70,"▲ Improved",IF('Data Entry'!C35&gt;=70*0.95,"→ Marginal","▼ Declined"))),"—")</f>
        <v/>
      </c>
      <c r="E9" s="14" t="inlineStr">
        <is>
          <t>≥ 70/100</t>
        </is>
      </c>
      <c r="F9" s="13">
        <f>IFERROR(IF('Data Entry'!C35="Pending","—",IF('Data Entry'!C35&gt;=70,"✓ YES","✗ NO")),"—")</f>
        <v/>
      </c>
      <c r="G9" s="36" t="inlineStr">
        <is>
          <t>▲ GOOD: The SCCB payment rating has improved to [X]/100, above the 70-point threshold. This is consistent with a CA2 rating trajectory.
→ NEUTRAL: The SCCB payment rating has improved marginally to [X]/100. Continued payment discipline is required to reach the 70+ threshold.
▼ CONCERN: The SCCB payment rating has declined to [X]/100. Urgent action on slow-pay entries and supplier settlements is required.</t>
        </is>
      </c>
    </row>
    <row r="10" ht="120.75" customHeight="1">
      <c r="A10" s="27" t="inlineStr">
        <is>
          <t>Collection Period</t>
        </is>
      </c>
      <c r="B10" s="34" t="inlineStr">
        <is>
          <t>47.20 days</t>
        </is>
      </c>
      <c r="C10" s="37">
        <f>IFERROR('Ratio Calculator'!E23,"Pending")</f>
        <v/>
      </c>
      <c r="D10" s="13">
        <f>IFERROR(IF('Ratio Calculator'!E23="Pending","—",IF('Ratio Calculator'!E23&lt;=60,"▲ Improved",IF('Ratio Calculator'!E23&lt;=60*1.05,"→ Marginal","▼ Declined"))),"—")</f>
        <v/>
      </c>
      <c r="E10" s="14" t="inlineStr">
        <is>
          <t>&lt; 60 days</t>
        </is>
      </c>
      <c r="F10" s="13">
        <f>IFERROR(IF('Ratio Calculator'!E23="Pending","—",IF('Ratio Calculator'!E23&lt;=60,"✓ YES","✗ NO")),"—")</f>
        <v/>
      </c>
      <c r="G10" s="36" t="inlineStr">
        <is>
          <t>▲ GOOD: The collection period has been maintained at [X] days, below the 60-day threshold. Cash conversion from project completions remains efficient.
→ NEUTRAL: The collection period has extended to [X] days. Monitor closely, particularly as projects approach completion milestones.
▼ CONCERN: The collection period has exceeded 60 days at [X] days. Review milestone billing processes and follow up on outstanding receivables.</t>
        </is>
      </c>
    </row>
    <row r="11" ht="116.25" customHeight="1">
      <c r="A11" s="27" t="inlineStr">
        <is>
          <t>Return on Assets</t>
        </is>
      </c>
      <c r="B11" s="34" t="inlineStr">
        <is>
          <t>8.97%</t>
        </is>
      </c>
      <c r="C11" s="38">
        <f>IFERROR('Ratio Calculator'!E19,"Pending")</f>
        <v/>
      </c>
      <c r="D11" s="13">
        <f>IFERROR(IF('Ratio Calculator'!E19="Pending","—",IF('Ratio Calculator'!E19&gt;=0.05,"▲ Improved",IF('Ratio Calculator'!E19&gt;=0.05*0.95,"→ Marginal","▼ Declined"))),"—")</f>
        <v/>
      </c>
      <c r="E11" s="14" t="inlineStr">
        <is>
          <t>&gt; 5.0%</t>
        </is>
      </c>
      <c r="F11" s="13">
        <f>IFERROR(IF('Ratio Calculator'!E19="Pending","—",IF('Ratio Calculator'!E19&gt;=0.05,"✓ YES","✗ NO")),"—")</f>
        <v/>
      </c>
      <c r="G11" s="36" t="inlineStr">
        <is>
          <t>▲ GOOD: ROA has been maintained at [X]%, above the sector median of ~5%. Asset utilisation remains strong.
→ NEUTRAL: ROA has moderated to [X]%. This is within normal range as project mix and asset base evolve.
▼ CONCERN: ROA has declined below 5% to [X]%. Review asset efficiency and consider whether the asset base is appropriately sized for current revenue.</t>
        </is>
      </c>
    </row>
  </sheetData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1" topLeftCell="A12" zoomScaleNormal="100" workbookViewId="0">
      <selection activeCell="A1" sqref="A1:F1"/>
    </sheetView>
  </sheetViews>
  <sheetFormatPr baseColWidth="8" defaultColWidth="8.7109375" defaultRowHeight="15"/>
  <cols>
    <col width="5" customWidth="1" min="1" max="1"/>
    <col width="14" customWidth="1" min="2" max="2"/>
    <col width="48" customWidth="1" min="3" max="3"/>
    <col width="18" customWidth="1" min="4" max="4"/>
    <col width="32" customWidth="1" min="5" max="5"/>
    <col width="35" customWidth="1" min="6" max="6"/>
  </cols>
  <sheetData>
    <row r="1" ht="45" customHeight="1">
      <c r="A1" s="2" t="inlineStr">
        <is>
          <t>STEP 4 — Recommendation Implementation Checklist</t>
        </is>
      </c>
      <c r="B1" s="43" t="n"/>
      <c r="C1" s="43" t="n"/>
      <c r="D1" s="43" t="n"/>
      <c r="E1" s="43" t="n"/>
      <c r="F1" s="43" t="n"/>
    </row>
    <row r="2" ht="24.75" customHeight="1">
      <c r="A2" s="5" t="inlineStr">
        <is>
          <t>Use the dropdown in the Status column to mark each recommendation. Add evidence/notes in the last column.</t>
        </is>
      </c>
      <c r="B2" s="43" t="n"/>
      <c r="C2" s="43" t="n"/>
      <c r="D2" s="43" t="n"/>
      <c r="E2" s="43" t="n"/>
      <c r="F2" s="43" t="n"/>
    </row>
    <row r="3"/>
    <row r="4" ht="24.75" customHeight="1">
      <c r="A4" s="18" t="inlineStr">
        <is>
          <t>#</t>
        </is>
      </c>
      <c r="B4" s="18" t="inlineStr">
        <is>
          <t>Timeframe</t>
        </is>
      </c>
      <c r="C4" s="18" t="inlineStr">
        <is>
          <t>Recommendation</t>
        </is>
      </c>
      <c r="D4" s="18" t="inlineStr">
        <is>
          <t>Status</t>
        </is>
      </c>
      <c r="E4" s="18" t="inlineStr">
        <is>
          <t>Credit Impact</t>
        </is>
      </c>
      <c r="F4" s="18" t="inlineStr">
        <is>
          <t>Evidence / Notes</t>
        </is>
      </c>
    </row>
    <row r="5" ht="49.5" customHeight="1">
      <c r="A5" s="39" t="inlineStr">
        <is>
          <t>1</t>
        </is>
      </c>
      <c r="B5" s="40" t="inlineStr">
        <is>
          <t>IMMEDIATE
(0–30 Days)</t>
        </is>
      </c>
      <c r="C5" s="10" t="inlineStr">
        <is>
          <t>Set up AP ageing tracker and payment priority list</t>
        </is>
      </c>
      <c r="D5" s="41" t="inlineStr">
        <is>
          <t>Not Started</t>
        </is>
      </c>
      <c r="E5" s="33" t="inlineStr">
        <is>
          <t>Targets SCCB payment rating from 59 toward 70+/100</t>
        </is>
      </c>
      <c r="F5" s="10" t="n"/>
    </row>
    <row r="6" ht="49.5" customHeight="1">
      <c r="A6" s="39" t="inlineStr">
        <is>
          <t>2</t>
        </is>
      </c>
      <c r="B6" s="40" t="inlineStr">
        <is>
          <t>IMMEDIATE
(0–30 Days)</t>
        </is>
      </c>
      <c r="C6" s="10" t="inlineStr">
        <is>
          <t>Initiate discussions with a relationship bank on revolving credit facility (SGD 5–10M)</t>
        </is>
      </c>
      <c r="D6" s="41" t="inlineStr">
        <is>
          <t>Not Started</t>
        </is>
      </c>
      <c r="E6" s="33" t="inlineStr">
        <is>
          <t>Enables current ratio recovery toward 1.50x target</t>
        </is>
      </c>
      <c r="F6" s="10" t="n"/>
    </row>
    <row r="7" ht="49.5" customHeight="1">
      <c r="A7" s="39" t="inlineStr">
        <is>
          <t>3</t>
        </is>
      </c>
      <c r="B7" s="40" t="inlineStr">
        <is>
          <t>IMMEDIATE
(0–30 Days)</t>
        </is>
      </c>
      <c r="C7" s="10" t="inlineStr">
        <is>
          <t>Compile contract register and revenue backlog documentation</t>
        </is>
      </c>
      <c r="D7" s="41" t="inlineStr">
        <is>
          <t>Not Started</t>
        </is>
      </c>
      <c r="E7" s="33" t="inlineStr">
        <is>
          <t>Required for a relationship bank facility application; supports Financial Condition rating</t>
        </is>
      </c>
      <c r="F7" s="10" t="n"/>
    </row>
    <row r="8" ht="49.5" customHeight="1">
      <c r="A8" s="39" t="inlineStr">
        <is>
          <t>4</t>
        </is>
      </c>
      <c r="B8" s="40" t="inlineStr">
        <is>
          <t>IMMEDIATE
(0–30 Days)</t>
        </is>
      </c>
      <c r="C8" s="10" t="inlineStr">
        <is>
          <t>Verify ACRA and SCCB records for all director and company records in bureau files</t>
        </is>
      </c>
      <c r="D8" s="41" t="inlineStr">
        <is>
          <t>Not Started</t>
        </is>
      </c>
      <c r="E8" s="33" t="inlineStr">
        <is>
          <t>Removes potential data discrepancies suppressing the credit rating</t>
        </is>
      </c>
      <c r="F8" s="10" t="n"/>
    </row>
    <row r="9" ht="49.5" customHeight="1">
      <c r="A9" s="39" t="inlineStr">
        <is>
          <t>5</t>
        </is>
      </c>
      <c r="B9" s="40" t="inlineStr">
        <is>
          <t>IMMEDIATE
(0–30 Days)</t>
        </is>
      </c>
      <c r="C9" s="10" t="inlineStr">
        <is>
          <t>Identify SCCB-reporting trade creditors and flag for priority payment</t>
        </is>
      </c>
      <c r="D9" s="41" t="inlineStr">
        <is>
          <t>Not Started</t>
        </is>
      </c>
      <c r="E9" s="33" t="inlineStr">
        <is>
          <t>Zero-cost action with direct payment score impact</t>
        </is>
      </c>
      <c r="F9" s="10" t="n"/>
    </row>
    <row r="10" ht="49.5" customHeight="1">
      <c r="A10" s="39" t="inlineStr">
        <is>
          <t>6</t>
        </is>
      </c>
      <c r="B10" s="40" t="inlineStr">
        <is>
          <t>SHORT-TERM
(1–3 Months)</t>
        </is>
      </c>
      <c r="C10" s="10" t="inlineStr">
        <is>
          <t>Settle top 5 largest overdue supplier payments</t>
        </is>
      </c>
      <c r="D10" s="41" t="inlineStr">
        <is>
          <t>Not Started</t>
        </is>
      </c>
      <c r="E10" s="33" t="inlineStr">
        <is>
          <t>Directly improves SCCB payment score toward 70+ threshold</t>
        </is>
      </c>
      <c r="F10" s="10" t="n"/>
    </row>
    <row r="11" ht="49.5" customHeight="1">
      <c r="A11" s="39" t="inlineStr">
        <is>
          <t>7</t>
        </is>
      </c>
      <c r="B11" s="40" t="inlineStr">
        <is>
          <t>SHORT-TERM
(1–3 Months)</t>
        </is>
      </c>
      <c r="C11" s="10" t="inlineStr">
        <is>
          <t>Submit revolving credit facility application to a relationship bank</t>
        </is>
      </c>
      <c r="D11" s="41" t="inlineStr">
        <is>
          <t>Not Started</t>
        </is>
      </c>
      <c r="E11" s="33" t="inlineStr">
        <is>
          <t>Targets current ratio above 1.50x; reduces concentration of current liabilities</t>
        </is>
      </c>
      <c r="F11" s="10" t="n"/>
    </row>
    <row r="12" ht="49.5" customHeight="1">
      <c r="A12" s="39" t="inlineStr">
        <is>
          <t>8</t>
        </is>
      </c>
      <c r="B12" s="40" t="inlineStr">
        <is>
          <t>SHORT-TERM
(1–3 Months)</t>
        </is>
      </c>
      <c r="C12" s="10" t="inlineStr">
        <is>
          <t>Sign formal contra/offset agreements with related-party entities</t>
        </is>
      </c>
      <c r="D12" s="41" t="inlineStr">
        <is>
          <t>Not Started</t>
        </is>
      </c>
      <c r="E12" s="33" t="inlineStr">
        <is>
          <t>Clarifies inter-company netting in SCCB payment data; supports dispute submissions</t>
        </is>
      </c>
      <c r="F12" s="10" t="n"/>
    </row>
    <row r="13" ht="49.5" customHeight="1">
      <c r="A13" s="39" t="inlineStr">
        <is>
          <t>9</t>
        </is>
      </c>
      <c r="B13" s="40" t="inlineStr">
        <is>
          <t>SHORT-TERM
(1–3 Months)</t>
        </is>
      </c>
      <c r="C13" s="10" t="inlineStr">
        <is>
          <t>Begin producing monthly management accounts from March 2026</t>
        </is>
      </c>
      <c r="D13" s="41" t="inlineStr">
        <is>
          <t>Not Started</t>
        </is>
      </c>
      <c r="E13" s="33" t="inlineStr">
        <is>
          <t>Institutional lender readiness; governance improvement</t>
        </is>
      </c>
      <c r="F13" s="10" t="n"/>
    </row>
    <row r="14" ht="49.5" customHeight="1">
      <c r="A14" s="39" t="inlineStr">
        <is>
          <t>10</t>
        </is>
      </c>
      <c r="B14" s="40" t="inlineStr">
        <is>
          <t>MEDIUM-TERM
(3–6 Months)</t>
        </is>
      </c>
      <c r="C14" s="10" t="inlineStr">
        <is>
          <t>Review payment terms with top 10 suppliers; align with project cash inflows</t>
        </is>
      </c>
      <c r="D14" s="41" t="inlineStr">
        <is>
          <t>Not Started</t>
        </is>
      </c>
      <c r="E14" s="33" t="inlineStr">
        <is>
          <t>Structural fix for payment period; targets reduction from 80.84 days to below 60 days</t>
        </is>
      </c>
      <c r="F14" s="10" t="n"/>
    </row>
    <row r="15" ht="49.5" customHeight="1">
      <c r="A15" s="39" t="inlineStr">
        <is>
          <t>11</t>
        </is>
      </c>
      <c r="B15" s="40" t="inlineStr">
        <is>
          <t>MEDIUM-TERM
(3–6 Months)</t>
        </is>
      </c>
      <c r="C15" s="10" t="inlineStr">
        <is>
          <t>Commission FY2026 audit with an accredited audit firm; prepare three-year projections</t>
        </is>
      </c>
      <c r="D15" s="41" t="inlineStr">
        <is>
          <t>Not Started</t>
        </is>
      </c>
      <c r="E15" s="33" t="inlineStr">
        <is>
          <t>Required for institutional facility applications above SGD 5M; supports CA2 application</t>
        </is>
      </c>
      <c r="F15" s="10" t="n"/>
    </row>
    <row r="16" ht="30" customHeight="1">
      <c r="A16" s="1" t="inlineStr">
        <is>
          <t>SUMMARY</t>
        </is>
      </c>
      <c r="B16" s="43" t="n"/>
      <c r="C16" s="43" t="n"/>
      <c r="D16" s="42">
        <f>COUNTIF(D5:D15,"Completed")</f>
        <v/>
      </c>
      <c r="E16" s="42">
        <f>COUNTIF(D5:D15,"In Progress")</f>
        <v/>
      </c>
      <c r="F16" s="42">
        <f>COUNTIF(D5:D15,"Not Started")</f>
        <v/>
      </c>
    </row>
  </sheetData>
  <mergeCells count="3">
    <mergeCell ref="A2:F2"/>
    <mergeCell ref="A1:F1"/>
    <mergeCell ref="A16:C16"/>
  </mergeCells>
  <dataValidations count="1">
    <dataValidation sqref="D5:D15" showDropDown="0" showInputMessage="0" showErrorMessage="0" allowBlank="1" type="list">
      <formula1>"Completed,In Progress,Not Started,Not Applicable"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2026-04-11T22:51:33Z</dcterms:created>
  <dcterms:modified xmlns:dcterms="http://purl.org/dc/terms/" xmlns:xsi="http://www.w3.org/2001/XMLSchema-instance" xsi:type="dcterms:W3CDTF">2026-04-12T07:13:50Z</dcterms:modified>
  <cp:lastModifiedBy>KingHenryMorgan</cp:lastModifiedBy>
  <cp:revision>0</cp:revision>
</cp:coreProperties>
</file>